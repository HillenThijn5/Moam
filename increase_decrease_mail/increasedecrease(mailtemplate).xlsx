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UTHIHI\PycharmProjects\MoamProject\increase_decrease_mail\"/>
    </mc:Choice>
  </mc:AlternateContent>
  <xr:revisionPtr revIDLastSave="0" documentId="13_ncr:1_{B804993F-3B30-4072-87B1-289C7986976B}" xr6:coauthVersionLast="47" xr6:coauthVersionMax="47" xr10:uidLastSave="{00000000-0000-0000-0000-000000000000}"/>
  <bookViews>
    <workbookView xWindow="28680" yWindow="-120" windowWidth="29040" windowHeight="15720" xr2:uid="{E2B4C858-E66C-4964-BCD1-67C4BAF22D97}"/>
  </bookViews>
  <sheets>
    <sheet name="IncreaseDecrease" sheetId="2" r:id="rId1"/>
    <sheet name="Sheet1" sheetId="1" r:id="rId2"/>
  </sheets>
  <externalReferences>
    <externalReference r:id="rId3"/>
  </externalReferences>
  <definedNames>
    <definedName name="Agent" localSheetId="0">IncreaseDecrease!$C$8</definedName>
    <definedName name="Agent">[1]Sheet1!$C$8</definedName>
    <definedName name="Decrease" localSheetId="0">IncreaseDecrease!$H$4</definedName>
    <definedName name="Delta" localSheetId="0">IncreaseDecrease!#REF!</definedName>
    <definedName name="Delta">[1]Sheet1!#REF!</definedName>
    <definedName name="Increase" localSheetId="0">IncreaseDecrease!$H$3</definedName>
    <definedName name="INCREASE\DECREASE" localSheetId="0">IncreaseDecrease!$C$7</definedName>
    <definedName name="INCREASE\DECREASE">[1]Sheet1!$C$7</definedName>
    <definedName name="Instrument" localSheetId="0">IncreaseDecrease!$C$9</definedName>
    <definedName name="ISIN" localSheetId="0">IncreaseDecrease!$C$10</definedName>
    <definedName name="Payment" localSheetId="0">IncreaseDecrease!$C$12</definedName>
    <definedName name="Size" localSheetId="0">IncreaseDecrease!$C$11</definedName>
    <definedName name="Size">[1]Sheet1!$C$11</definedName>
    <definedName name="To" localSheetId="0">IncreaseDecrease!#REF!</definedName>
    <definedName name="To">[1]Sheet1!#REF!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3" i="2" l="1"/>
  <c r="C21" i="2"/>
  <c r="C19" i="2"/>
  <c r="J10" i="2"/>
  <c r="C13" i="2" s="1"/>
  <c r="B5" i="2"/>
  <c r="E1" i="2"/>
  <c r="C12" i="2"/>
</calcChain>
</file>

<file path=xl/sharedStrings.xml><?xml version="1.0" encoding="utf-8"?>
<sst xmlns="http://schemas.openxmlformats.org/spreadsheetml/2006/main" count="35" uniqueCount="26">
  <si>
    <t>Dear VL Treasury,</t>
  </si>
  <si>
    <t>Increase</t>
  </si>
  <si>
    <t>Kempen Betaal Kantoor</t>
  </si>
  <si>
    <t>Pays</t>
  </si>
  <si>
    <t>Decrease</t>
  </si>
  <si>
    <t>Deutsche Bank</t>
  </si>
  <si>
    <t>Receives</t>
  </si>
  <si>
    <t>fill in</t>
  </si>
  <si>
    <t>Increase / Decrease:</t>
  </si>
  <si>
    <t>x</t>
  </si>
  <si>
    <t>AGENT:</t>
  </si>
  <si>
    <t>Note:</t>
  </si>
  <si>
    <t>AI_5Y_CAPPEDIGN_FEB31_qUSD_NOTE</t>
  </si>
  <si>
    <t>FEE</t>
  </si>
  <si>
    <t>ISIN:</t>
  </si>
  <si>
    <t>SWAP ACCRUAD</t>
  </si>
  <si>
    <t>Size:</t>
  </si>
  <si>
    <t>Kempen Pays / Receives:</t>
  </si>
  <si>
    <t>Swap Accrued + Delta Funding</t>
  </si>
  <si>
    <t>See Attachment for your record</t>
  </si>
  <si>
    <t>tr</t>
  </si>
  <si>
    <t>TO DO:</t>
  </si>
  <si>
    <t>SP: We Book Swap and Notes in Riskmanager</t>
  </si>
  <si>
    <t>Pls transfer from NUS (t+2):</t>
  </si>
  <si>
    <t>ReconOS: Please book OTC Swap in Bankview</t>
  </si>
  <si>
    <t>VL Treasury: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</si>
</sst>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[$EUR]\ #,##0.00"/>
    <numFmt numFmtId="165" formatCode="_ * #,##0.00_ ;_ * \-#,##0.00_ ;_ * &quot;-&quot;??_ ;_ @_ 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i/>
      <sz val="9"/>
      <color rgb="FF002060"/>
      <name val="Aptos Narrow"/>
      <family val="2"/>
      <scheme val="minor"/>
    </font>
    <font>
      <b/>
      <i/>
      <sz val="11"/>
      <name val="Aptos Narrow"/>
      <family val="2"/>
      <scheme val="minor"/>
    </font>
    <font>
      <i/>
      <sz val="9"/>
      <color rgb="FF00206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32">
    <xf numFmtId="0" fontId="0" fillId="0" borderId="0" xfId="0"/>
    <xf numFmtId="0" fontId="2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3" fillId="0" borderId="0" xfId="2" applyBorder="1" applyAlignment="1">
      <alignment horizontal="right" wrapText="1"/>
    </xf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5" xfId="0" applyFill="1" applyBorder="1"/>
    <xf numFmtId="0" fontId="0" fillId="2" borderId="6" xfId="0" applyFill="1" applyBorder="1"/>
    <xf numFmtId="0" fontId="2" fillId="0" borderId="0" xfId="0" applyFont="1"/>
    <xf numFmtId="0" fontId="3" fillId="0" borderId="0" xfId="2" applyBorder="1" applyAlignment="1">
      <alignment horizontal="right"/>
    </xf>
    <xf numFmtId="0" fontId="4" fillId="0" borderId="0" xfId="0" applyFont="1" applyAlignment="1">
      <alignment wrapText="1"/>
    </xf>
    <xf numFmtId="0" fontId="2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6" fillId="0" borderId="0" xfId="0" applyFont="1" applyAlignment="1">
      <alignment wrapText="1"/>
    </xf>
    <xf numFmtId="0" fontId="7" fillId="0" borderId="0" xfId="0" applyFont="1" applyAlignment="1">
      <alignment horizontal="left"/>
    </xf>
    <xf numFmtId="0" fontId="0" fillId="0" borderId="0" xfId="0" applyAlignment="1">
      <alignment vertical="center" wrapText="1"/>
    </xf>
    <xf numFmtId="0" fontId="6" fillId="0" borderId="0" xfId="0" applyFont="1"/>
    <xf numFmtId="0" fontId="2" fillId="0" borderId="7" xfId="0" applyFont="1" applyBorder="1"/>
    <xf numFmtId="0" fontId="0" fillId="0" borderId="7" xfId="0" applyBorder="1"/>
    <xf numFmtId="0" fontId="0" fillId="3" borderId="7" xfId="0" applyFill="1" applyBorder="1"/>
    <xf numFmtId="164" fontId="2" fillId="0" borderId="0" xfId="0" applyNumberFormat="1" applyFont="1" applyAlignment="1">
      <alignment horizontal="left"/>
    </xf>
    <xf numFmtId="0" fontId="8" fillId="0" borderId="0" xfId="0" applyFont="1" applyAlignment="1">
      <alignment horizontal="left"/>
    </xf>
    <xf numFmtId="37" fontId="2" fillId="0" borderId="0" xfId="1" applyNumberFormat="1" applyFont="1" applyBorder="1" applyAlignment="1">
      <alignment horizontal="left"/>
    </xf>
    <xf numFmtId="3" fontId="2" fillId="0" borderId="0" xfId="0" applyNumberFormat="1" applyFont="1" applyAlignment="1">
      <alignment horizontal="left"/>
    </xf>
    <xf numFmtId="0" fontId="7" fillId="0" borderId="0" xfId="0" applyFont="1"/>
    <xf numFmtId="43" fontId="0" fillId="0" borderId="0" xfId="1" applyFont="1"/>
    <xf numFmtId="165" fontId="0" fillId="0" borderId="0" xfId="0" applyNumberFormat="1"/>
    <xf numFmtId="0" fontId="0" fillId="0" borderId="0" xfId="0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wrapText="1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vlkco.sharepoint.com/Sites/ts-StructuredInvestments/Proces%20guides/Sales%20Map/F2%20&#9996;&#65039;/Increase%20or%20Decrease.xlsm" TargetMode="External"/><Relationship Id="rId1" Type="http://schemas.openxmlformats.org/officeDocument/2006/relationships/externalLinkPath" Target="https://vlkco.sharepoint.com/Sites/ts-StructuredInvestments/Proces%20guides/Sales%20Map/F2%20&#9996;&#65039;/Increase%20or%20Decrease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hart1"/>
      <sheetName val="Sheet1"/>
      <sheetName val="Sheet3"/>
      <sheetName val="Sheet2"/>
    </sheetNames>
    <sheetDataSet>
      <sheetData sheetId="0" refreshError="1"/>
      <sheetData sheetId="1"/>
      <sheetData sheetId="2" refreshError="1"/>
      <sheetData sheetId="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EC2F7-48E7-48EE-AD26-C856699C979F}">
  <sheetPr codeName="Sheet4"/>
  <dimension ref="B1:O40"/>
  <sheetViews>
    <sheetView tabSelected="1" zoomScale="115" zoomScaleNormal="115" workbookViewId="0">
      <selection activeCell="D10" sqref="D10"/>
    </sheetView>
  </sheetViews>
  <sheetFormatPr defaultRowHeight="15" x14ac:dyDescent="0.25"/>
  <cols>
    <col min="1" max="1" width="4.42578125" customWidth="1"/>
    <col min="2" max="2" width="41.5703125" bestFit="1" customWidth="1"/>
    <col min="3" max="3" width="50.5703125" customWidth="1"/>
    <col min="4" max="4" width="40.7109375" customWidth="1"/>
    <col min="5" max="5" width="33.7109375" customWidth="1"/>
    <col min="6" max="6" width="24.28515625" hidden="1" customWidth="1"/>
    <col min="7" max="7" width="26.28515625" hidden="1" customWidth="1"/>
    <col min="8" max="8" width="9.28515625" hidden="1" customWidth="1"/>
    <col min="9" max="9" width="20.5703125" customWidth="1"/>
    <col min="10" max="10" width="9.5703125" bestFit="1" customWidth="1"/>
    <col min="15" max="15" width="12.5703125" bestFit="1" customWidth="1"/>
  </cols>
  <sheetData>
    <row r="1" spans="2:11" x14ac:dyDescent="0.25">
      <c r="E1" s="31" t="str">
        <f>IF(INCREASE\DECREASE="Increase","SPControl: NEW MTN - Opbouwen NOTE/Swap", "SPControl: NEW MTN - Afbouwen NOTE/Swap" )</f>
        <v>SPControl: NEW MTN - Opbouwen NOTE/Swap</v>
      </c>
      <c r="F1" s="31"/>
    </row>
    <row r="2" spans="2:11" ht="15.75" thickBot="1" x14ac:dyDescent="0.3"/>
    <row r="3" spans="2:11" x14ac:dyDescent="0.25">
      <c r="B3" s="2" t="s">
        <v>0</v>
      </c>
      <c r="C3" s="3"/>
      <c r="F3" s="4" t="s">
        <v>1</v>
      </c>
      <c r="G3" s="5" t="s">
        <v>2</v>
      </c>
      <c r="H3" s="6" t="s">
        <v>3</v>
      </c>
    </row>
    <row r="4" spans="2:11" ht="15.75" thickBot="1" x14ac:dyDescent="0.3">
      <c r="B4" s="1"/>
      <c r="C4" s="3"/>
      <c r="F4" s="7" t="s">
        <v>4</v>
      </c>
      <c r="G4" s="8" t="s">
        <v>5</v>
      </c>
      <c r="H4" s="9" t="s">
        <v>6</v>
      </c>
    </row>
    <row r="5" spans="2:11" x14ac:dyDescent="0.25">
      <c r="B5" s="31" t="str">
        <f>IF(INCREASE\DECREASE="Increase","We would like to Increase our holdings in the below Note And Swap", "We would like to Decrease our holdings in the below Note and Swap" )</f>
        <v>We would like to Increase our holdings in the below Note And Swap</v>
      </c>
      <c r="C5" s="31"/>
    </row>
    <row r="6" spans="2:11" x14ac:dyDescent="0.25">
      <c r="B6" s="10"/>
      <c r="C6" s="11"/>
      <c r="D6" s="12" t="s">
        <v>7</v>
      </c>
    </row>
    <row r="7" spans="2:11" x14ac:dyDescent="0.25">
      <c r="B7" s="13" t="s">
        <v>8</v>
      </c>
      <c r="C7" s="14" t="s">
        <v>1</v>
      </c>
      <c r="D7" s="15" t="s">
        <v>9</v>
      </c>
    </row>
    <row r="8" spans="2:11" ht="16.5" customHeight="1" x14ac:dyDescent="0.25">
      <c r="B8" s="13" t="s">
        <v>10</v>
      </c>
      <c r="C8" s="16" t="s">
        <v>2</v>
      </c>
      <c r="D8" s="15" t="s">
        <v>9</v>
      </c>
      <c r="K8" s="17"/>
    </row>
    <row r="9" spans="2:11" ht="27.75" customHeight="1" x14ac:dyDescent="0.25">
      <c r="B9" s="30" t="s">
        <v>11</v>
      </c>
      <c r="C9" s="17" t="s">
        <v>12</v>
      </c>
      <c r="D9" s="18" t="s">
        <v>9</v>
      </c>
      <c r="I9" s="19" t="s">
        <v>13</v>
      </c>
      <c r="J9" s="20">
        <v>0.40173700000000001</v>
      </c>
      <c r="K9" s="17"/>
    </row>
    <row r="10" spans="2:11" x14ac:dyDescent="0.25">
      <c r="B10" s="13" t="s">
        <v>14</v>
      </c>
      <c r="C10" s="17"/>
      <c r="D10" s="15" t="s">
        <v>9</v>
      </c>
      <c r="I10" s="21" t="s">
        <v>15</v>
      </c>
      <c r="J10" s="21">
        <f>(J9/100)*Size</f>
        <v>923.99509999999998</v>
      </c>
      <c r="K10" s="17"/>
    </row>
    <row r="11" spans="2:11" x14ac:dyDescent="0.25">
      <c r="B11" s="13" t="s">
        <v>16</v>
      </c>
      <c r="C11" s="29">
        <v>230000</v>
      </c>
      <c r="D11" s="18" t="s">
        <v>9</v>
      </c>
      <c r="K11" s="17"/>
    </row>
    <row r="12" spans="2:11" x14ac:dyDescent="0.25">
      <c r="B12" s="13" t="s">
        <v>17</v>
      </c>
      <c r="C12" s="13" t="str">
        <f ca="1">INDIRECT(C7)</f>
        <v>Pays</v>
      </c>
      <c r="D12" s="18" t="s">
        <v>9</v>
      </c>
      <c r="K12" s="17"/>
    </row>
    <row r="13" spans="2:11" x14ac:dyDescent="0.25">
      <c r="B13" s="13" t="s">
        <v>18</v>
      </c>
      <c r="C13" s="22">
        <f>J10</f>
        <v>923.99509999999998</v>
      </c>
      <c r="D13" s="18" t="s">
        <v>9</v>
      </c>
      <c r="K13" s="17"/>
    </row>
    <row r="14" spans="2:11" x14ac:dyDescent="0.25">
      <c r="K14" s="17"/>
    </row>
    <row r="15" spans="2:11" x14ac:dyDescent="0.25">
      <c r="B15" s="13" t="s">
        <v>19</v>
      </c>
      <c r="C15" s="10"/>
      <c r="D15" s="18" t="s">
        <v>20</v>
      </c>
      <c r="E15" s="17">
        <v>0.86350000000000005</v>
      </c>
    </row>
    <row r="16" spans="2:11" x14ac:dyDescent="0.25">
      <c r="B16" s="23" t="s">
        <v>21</v>
      </c>
    </row>
    <row r="17" spans="2:15" x14ac:dyDescent="0.25">
      <c r="B17" t="s">
        <v>22</v>
      </c>
    </row>
    <row r="18" spans="2:15" x14ac:dyDescent="0.25">
      <c r="B18" s="10" t="s">
        <v>2</v>
      </c>
      <c r="C18" s="24"/>
    </row>
    <row r="19" spans="2:15" x14ac:dyDescent="0.25">
      <c r="B19" s="10" t="s">
        <v>23</v>
      </c>
      <c r="C19" s="25">
        <f>Size</f>
        <v>230000</v>
      </c>
      <c r="D19" s="25"/>
    </row>
    <row r="20" spans="2:15" x14ac:dyDescent="0.25">
      <c r="B20" t="s">
        <v>24</v>
      </c>
    </row>
    <row r="21" spans="2:15" x14ac:dyDescent="0.25">
      <c r="B21" t="s">
        <v>25</v>
      </c>
      <c r="C21" s="26" t="str">
        <f>IF(Agent="Deutsche Bank", "Please Sign Mark Up Letter", "for your information only")</f>
        <v>for your information only</v>
      </c>
    </row>
    <row r="23" spans="2:15" x14ac:dyDescent="0.25">
      <c r="C23" s="26" t="str">
        <f>IF(Agent="Deutsche Bank","Please Prepare Docs for DB","")</f>
        <v/>
      </c>
    </row>
    <row r="26" spans="2:15" x14ac:dyDescent="0.25">
      <c r="D26" s="17"/>
      <c r="O26" s="27"/>
    </row>
    <row r="27" spans="2:15" x14ac:dyDescent="0.25">
      <c r="J27" s="27"/>
    </row>
    <row r="28" spans="2:15" x14ac:dyDescent="0.25">
      <c r="O28" s="28"/>
    </row>
    <row r="30" spans="2:15" x14ac:dyDescent="0.25">
      <c r="D30" s="27"/>
      <c r="E30">
        <v>3</v>
      </c>
    </row>
    <row r="31" spans="2:15" x14ac:dyDescent="0.25">
      <c r="D31" s="27"/>
    </row>
    <row r="35" spans="3:4" x14ac:dyDescent="0.25">
      <c r="D35" s="10"/>
    </row>
    <row r="40" spans="3:4" x14ac:dyDescent="0.25">
      <c r="C40" s="10"/>
    </row>
  </sheetData>
  <mergeCells count="2">
    <mergeCell ref="E1:F1"/>
    <mergeCell ref="B5:C5"/>
  </mergeCells>
  <dataValidations count="2">
    <dataValidation type="list" allowBlank="1" showInputMessage="1" showErrorMessage="1" sqref="C8" xr:uid="{4B468C45-2D35-4DA6-BC5F-AC53E478469D}">
      <formula1>$G$3:$G$4</formula1>
    </dataValidation>
    <dataValidation type="list" allowBlank="1" showInputMessage="1" showErrorMessage="1" sqref="C7" xr:uid="{0190B7E3-8C5F-479B-A1CF-25CF9BF31704}">
      <formula1>$F$3:$F$4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B7362E-2CE6-4618-9310-92AC8317AF88}">
  <sheetPr codeName="Sheet1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5cf08532-638a-46cf-b7d0-f59dca62f829}" enabled="0" method="" siteId="{5cf08532-638a-46cf-b7d0-f59dca62f829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8</vt:i4>
      </vt:variant>
    </vt:vector>
  </HeadingPairs>
  <TitlesOfParts>
    <vt:vector size="10" baseType="lpstr">
      <vt:lpstr>IncreaseDecrease</vt:lpstr>
      <vt:lpstr>Sheet1</vt:lpstr>
      <vt:lpstr>IncreaseDecrease!Agent</vt:lpstr>
      <vt:lpstr>IncreaseDecrease!Decrease</vt:lpstr>
      <vt:lpstr>IncreaseDecrease!Increase</vt:lpstr>
      <vt:lpstr>IncreaseDecrease!INCREASE\DECREASE</vt:lpstr>
      <vt:lpstr>IncreaseDecrease!Instrument</vt:lpstr>
      <vt:lpstr>IncreaseDecrease!ISIN</vt:lpstr>
      <vt:lpstr>IncreaseDecrease!Payment</vt:lpstr>
      <vt:lpstr>IncreaseDecrease!Size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Thijn Hillen</dc:creator>
  <cp:lastModifiedBy>Thijn Hillen</cp:lastModifiedBy>
  <dcterms:created xsi:type="dcterms:W3CDTF">2026-04-23T12:26:43Z</dcterms:created>
  <dcterms:modified xsi:type="dcterms:W3CDTF">2026-05-05T15:23:16Z</dcterms:modified>
</cp:coreProperties>
</file>